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Carton" sheetId="1" state="visible" r:id="rId1"/>
    <sheet name="Dimension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3">
    <numFmt numFmtId="164" formatCode="0.0000"/>
    <numFmt numFmtId="165" formatCode="0.0%"/>
    <numFmt numFmtId="166" formatCode="0.000"/>
  </numFmts>
  <fonts count="7">
    <font>
      <name val="Calibri"/>
      <family val="2"/>
      <color theme="1"/>
      <sz val="11"/>
      <scheme val="minor"/>
    </font>
    <font>
      <name val="Arial"/>
      <b val="1"/>
      <sz val="14"/>
    </font>
    <font>
      <name val="Arial"/>
      <b val="1"/>
    </font>
    <font>
      <name val="Arial"/>
    </font>
    <font>
      <name val="Arial"/>
      <color rgb="000000FF"/>
    </font>
    <font>
      <name val="Arial"/>
      <i val="1"/>
      <color rgb="00808080"/>
    </font>
    <font>
      <name val="Arial"/>
      <b val="1"/>
      <color rgb="00FFFFFF"/>
    </font>
  </fonts>
  <fills count="5">
    <fill>
      <patternFill/>
    </fill>
    <fill>
      <patternFill patternType="gray125"/>
    </fill>
    <fill>
      <patternFill patternType="solid">
        <fgColor rgb="00FFF2CC"/>
      </patternFill>
    </fill>
    <fill>
      <patternFill patternType="solid">
        <fgColor rgb="007A5230"/>
      </patternFill>
    </fill>
    <fill>
      <patternFill patternType="solid">
        <fgColor rgb="00EADBC8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6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2" borderId="1" pivotButton="0" quotePrefix="0" xfId="0"/>
    <xf numFmtId="0" fontId="5" fillId="0" borderId="0" pivotButton="0" quotePrefix="0" xfId="0"/>
    <xf numFmtId="9" fontId="4" fillId="2" borderId="1" pivotButton="0" quotePrefix="0" xfId="0"/>
    <xf numFmtId="0" fontId="6" fillId="3" borderId="1" applyAlignment="1" pivotButton="0" quotePrefix="0" xfId="0">
      <alignment horizontal="center" vertical="center"/>
    </xf>
    <xf numFmtId="0" fontId="3" fillId="0" borderId="1" pivotButton="0" quotePrefix="0" xfId="0"/>
    <xf numFmtId="0" fontId="4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165" fontId="3" fillId="0" borderId="1" applyAlignment="1" pivotButton="0" quotePrefix="0" xfId="0">
      <alignment horizontal="center" vertical="center"/>
    </xf>
    <xf numFmtId="0" fontId="2" fillId="4" borderId="1" pivotButton="0" quotePrefix="0" xfId="0"/>
    <xf numFmtId="0" fontId="0" fillId="4" borderId="1" pivotButton="0" quotePrefix="0" xfId="0"/>
    <xf numFmtId="166" fontId="2" fillId="4" borderId="1" applyAlignment="1" pivotButton="0" quotePrefix="0" xfId="0">
      <alignment horizontal="center" vertical="center"/>
    </xf>
    <xf numFmtId="165" fontId="2" fillId="4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comments/comment1.xml><?xml version="1.0" encoding="utf-8"?>
<comments xmlns="http://schemas.openxmlformats.org/spreadsheetml/2006/main">
  <authors>
    <author>Claude</author>
  </authors>
  <commentList>
    <comment ref="A10" authorId="0" shapeId="0">
      <text>
        <t>25 x 12 cm, ~1,2 cm d'épaisseur = 3 épaisseurs de carton</t>
      </text>
    </comment>
    <comment ref="A13" authorId="0" shapeId="0">
      <text>
        <t>À définir : 3 plaques à l'intérieur de la poutre (2 sur les pieds + 1 au milieu)</t>
      </text>
    </comment>
    <comment ref="A16" authorId="0" shapeId="0">
      <text>
        <t>Carton doublé</t>
      </text>
    </comment>
    <comment ref="A17" authorId="0" shapeId="0">
      <text>
        <t>Carton doublé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25"/>
  <sheetViews>
    <sheetView workbookViewId="0">
      <selection activeCell="A1" sqref="A1"/>
    </sheetView>
  </sheetViews>
  <sheetFormatPr baseColWidth="8" defaultRowHeight="15"/>
  <cols>
    <col width="30" customWidth="1" min="1" max="1"/>
    <col width="7" customWidth="1" min="2" max="2"/>
    <col width="11" customWidth="1" min="3" max="3"/>
    <col width="12" customWidth="1" min="4" max="4"/>
    <col width="12" customWidth="1" min="5" max="5"/>
    <col width="14" customWidth="1" min="6" max="6"/>
    <col width="12" customWidth="1" min="7" max="7"/>
    <col width="20" customWidth="1" min="8" max="8"/>
    <col width="19" customWidth="1" min="9" max="9"/>
    <col width="10" customWidth="1" min="10" max="10"/>
  </cols>
  <sheetData>
    <row r="1">
      <c r="A1" s="1" t="inlineStr">
        <is>
          <t>Portique de levage - Découpe du carton (1 m²)</t>
        </is>
      </c>
    </row>
    <row r="3">
      <c r="A3" s="2" t="inlineStr">
        <is>
          <t>Paramètres</t>
        </is>
      </c>
    </row>
    <row r="4">
      <c r="A4" s="3" t="inlineStr">
        <is>
          <t>Carton disponible (m²)</t>
        </is>
      </c>
      <c r="B4" s="4" t="n">
        <v>1</v>
      </c>
      <c r="C4" s="5" t="inlineStr">
        <is>
          <t>Donnée du projet</t>
        </is>
      </c>
    </row>
    <row r="5">
      <c r="A5" s="3" t="inlineStr">
        <is>
          <t>Rabat de collage des tubes (cm)</t>
        </is>
      </c>
      <c r="B5" s="4" t="n">
        <v>1.5</v>
      </c>
      <c r="C5" s="5" t="inlineStr">
        <is>
          <t>Hypothèse : bande de recouvrement pour fermer un tube</t>
        </is>
      </c>
    </row>
    <row r="6">
      <c r="A6" s="3" t="inlineStr">
        <is>
          <t>Pertes à la découpe</t>
        </is>
      </c>
      <c r="B6" s="6" t="n">
        <v>0.1</v>
      </c>
      <c r="C6" s="5" t="inlineStr">
        <is>
          <t>Hypothèse : chutes de découpe</t>
        </is>
      </c>
    </row>
    <row r="9">
      <c r="A9" s="7" t="inlineStr">
        <is>
          <t>Élément</t>
        </is>
      </c>
      <c r="B9" s="7" t="inlineStr">
        <is>
          <t>Qté</t>
        </is>
      </c>
      <c r="C9" s="7" t="inlineStr">
        <is>
          <t>Forme</t>
        </is>
      </c>
      <c r="D9" s="7" t="inlineStr">
        <is>
          <t>Côté a (cm)</t>
        </is>
      </c>
      <c r="E9" s="7" t="inlineStr">
        <is>
          <t>Côté b (cm)</t>
        </is>
      </c>
      <c r="F9" s="7" t="inlineStr">
        <is>
          <t>Longueur (cm)</t>
        </is>
      </c>
      <c r="G9" s="7" t="inlineStr">
        <is>
          <t>Épaisseurs</t>
        </is>
      </c>
      <c r="H9" s="7" t="inlineStr">
        <is>
          <t>Surface unitaire (m²)</t>
        </is>
      </c>
      <c r="I9" s="7" t="inlineStr">
        <is>
          <t>Surface totale (m²)</t>
        </is>
      </c>
      <c r="J9" s="7" t="inlineStr">
        <is>
          <t>% du m²</t>
        </is>
      </c>
    </row>
    <row r="10">
      <c r="A10" s="8" t="inlineStr">
        <is>
          <t>Socles</t>
        </is>
      </c>
      <c r="B10" s="9" t="n">
        <v>2</v>
      </c>
      <c r="C10" s="9" t="inlineStr">
        <is>
          <t>Plaque</t>
        </is>
      </c>
      <c r="D10" s="9" t="n">
        <v>25</v>
      </c>
      <c r="E10" s="9" t="n">
        <v>12</v>
      </c>
      <c r="F10" s="9" t="n"/>
      <c r="G10" s="9" t="n">
        <v>3</v>
      </c>
      <c r="H10" s="10">
        <f>IF(C10="Tube",(2*(D10+E10)+$B$5)*F10,IF(C10="Triangle",D10*E10/2,D10*E10))*G10/10000</f>
        <v/>
      </c>
      <c r="I10" s="10">
        <f>H10*B10</f>
        <v/>
      </c>
      <c r="J10" s="11">
        <f>I10/$B$4</f>
        <v/>
      </c>
    </row>
    <row r="11">
      <c r="A11" s="8" t="inlineStr">
        <is>
          <t>Pieds</t>
        </is>
      </c>
      <c r="B11" s="9" t="n">
        <v>2</v>
      </c>
      <c r="C11" s="9" t="inlineStr">
        <is>
          <t>Tube</t>
        </is>
      </c>
      <c r="D11" s="9" t="n">
        <v>7</v>
      </c>
      <c r="E11" s="9" t="n">
        <v>7</v>
      </c>
      <c r="F11" s="9" t="n">
        <v>70</v>
      </c>
      <c r="G11" s="9" t="n">
        <v>1</v>
      </c>
      <c r="H11" s="10">
        <f>IF(C11="Tube",(2*(D11+E11)+$B$5)*F11,IF(C11="Triangle",D11*E11/2,D11*E11))*G11/10000</f>
        <v/>
      </c>
      <c r="I11" s="10">
        <f>H11*B11</f>
        <v/>
      </c>
      <c r="J11" s="11">
        <f>I11/$B$4</f>
        <v/>
      </c>
    </row>
    <row r="12">
      <c r="A12" s="8" t="inlineStr">
        <is>
          <t>Poutre</t>
        </is>
      </c>
      <c r="B12" s="9" t="n">
        <v>1</v>
      </c>
      <c r="C12" s="9" t="inlineStr">
        <is>
          <t>Tube</t>
        </is>
      </c>
      <c r="D12" s="9" t="n">
        <v>7</v>
      </c>
      <c r="E12" s="9" t="n">
        <v>8</v>
      </c>
      <c r="F12" s="9" t="n">
        <v>64</v>
      </c>
      <c r="G12" s="9" t="n">
        <v>1</v>
      </c>
      <c r="H12" s="10">
        <f>IF(C12="Tube",(2*(D12+E12)+$B$5)*F12,IF(C12="Triangle",D12*E12/2,D12*E12))*G12/10000</f>
        <v/>
      </c>
      <c r="I12" s="10">
        <f>H12*B12</f>
        <v/>
      </c>
      <c r="J12" s="11">
        <f>I12/$B$4</f>
        <v/>
      </c>
    </row>
    <row r="13">
      <c r="A13" s="8" t="inlineStr">
        <is>
          <t>Renforts de la poutre</t>
        </is>
      </c>
      <c r="B13" s="9" t="n">
        <v>3</v>
      </c>
      <c r="C13" s="9" t="inlineStr">
        <is>
          <t>Plaque</t>
        </is>
      </c>
      <c r="D13" s="9" t="n">
        <v>6.3</v>
      </c>
      <c r="E13" s="9" t="n">
        <v>7.3</v>
      </c>
      <c r="F13" s="9" t="n"/>
      <c r="G13" s="9" t="n">
        <v>1</v>
      </c>
      <c r="H13" s="10">
        <f>IF(C13="Tube",(2*(D13+E13)+$B$5)*F13,IF(C13="Triangle",D13*E13/2,D13*E13))*G13/10000</f>
        <v/>
      </c>
      <c r="I13" s="10">
        <f>H13*B13</f>
        <v/>
      </c>
      <c r="J13" s="11">
        <f>I13/$B$4</f>
        <v/>
      </c>
    </row>
    <row r="14">
      <c r="A14" s="8" t="inlineStr">
        <is>
          <t>Équerres</t>
        </is>
      </c>
      <c r="B14" s="9" t="n">
        <v>4</v>
      </c>
      <c r="C14" s="9" t="inlineStr">
        <is>
          <t>Triangle</t>
        </is>
      </c>
      <c r="D14" s="9" t="n">
        <v>13</v>
      </c>
      <c r="E14" s="9" t="n">
        <v>13</v>
      </c>
      <c r="F14" s="9" t="n"/>
      <c r="G14" s="9" t="n">
        <v>1</v>
      </c>
      <c r="H14" s="10">
        <f>IF(C14="Tube",(2*(D14+E14)+$B$5)*F14,IF(C14="Triangle",D14*E14/2,D14*E14))*G14/10000</f>
        <v/>
      </c>
      <c r="I14" s="10">
        <f>H14*B14</f>
        <v/>
      </c>
      <c r="J14" s="11">
        <f>I14/$B$4</f>
        <v/>
      </c>
    </row>
    <row r="15">
      <c r="A15" s="8" t="inlineStr">
        <is>
          <t>Chariot</t>
        </is>
      </c>
      <c r="B15" s="9" t="n">
        <v>1</v>
      </c>
      <c r="C15" s="9" t="inlineStr">
        <is>
          <t>Tube</t>
        </is>
      </c>
      <c r="D15" s="9" t="n">
        <v>7.6</v>
      </c>
      <c r="E15" s="9" t="n">
        <v>8.6</v>
      </c>
      <c r="F15" s="9" t="n">
        <v>10</v>
      </c>
      <c r="G15" s="9" t="n">
        <v>1</v>
      </c>
      <c r="H15" s="10">
        <f>IF(C15="Tube",(2*(D15+E15)+$B$5)*F15,IF(C15="Triangle",D15*E15/2,D15*E15))*G15/10000</f>
        <v/>
      </c>
      <c r="I15" s="10">
        <f>H15*B15</f>
        <v/>
      </c>
      <c r="J15" s="11">
        <f>I15/$B$4</f>
        <v/>
      </c>
    </row>
    <row r="16">
      <c r="A16" s="8" t="inlineStr">
        <is>
          <t>Supports poulies du haut</t>
        </is>
      </c>
      <c r="B16" s="9" t="n">
        <v>2</v>
      </c>
      <c r="C16" s="9" t="inlineStr">
        <is>
          <t>Plaque</t>
        </is>
      </c>
      <c r="D16" s="9" t="n">
        <v>5</v>
      </c>
      <c r="E16" s="9" t="n">
        <v>4</v>
      </c>
      <c r="F16" s="9" t="n"/>
      <c r="G16" s="9" t="n">
        <v>2</v>
      </c>
      <c r="H16" s="10">
        <f>IF(C16="Tube",(2*(D16+E16)+$B$5)*F16,IF(C16="Triangle",D16*E16/2,D16*E16))*G16/10000</f>
        <v/>
      </c>
      <c r="I16" s="10">
        <f>H16*B16</f>
        <v/>
      </c>
      <c r="J16" s="11">
        <f>I16/$B$4</f>
        <v/>
      </c>
    </row>
    <row r="17">
      <c r="A17" s="8" t="inlineStr">
        <is>
          <t>Supports poulies du bas</t>
        </is>
      </c>
      <c r="B17" s="9" t="n">
        <v>2</v>
      </c>
      <c r="C17" s="9" t="inlineStr">
        <is>
          <t>Plaque</t>
        </is>
      </c>
      <c r="D17" s="9" t="n">
        <v>4</v>
      </c>
      <c r="E17" s="9" t="n">
        <v>4</v>
      </c>
      <c r="F17" s="9" t="n"/>
      <c r="G17" s="9" t="n">
        <v>2</v>
      </c>
      <c r="H17" s="10">
        <f>IF(C17="Tube",(2*(D17+E17)+$B$5)*F17,IF(C17="Triangle",D17*E17/2,D17*E17))*G17/10000</f>
        <v/>
      </c>
      <c r="I17" s="10">
        <f>H17*B17</f>
        <v/>
      </c>
      <c r="J17" s="11">
        <f>I17/$B$4</f>
        <v/>
      </c>
    </row>
    <row r="19">
      <c r="A19" s="12" t="inlineStr">
        <is>
          <t>Total carton utilisé</t>
        </is>
      </c>
      <c r="B19" s="13" t="n"/>
      <c r="C19" s="13" t="n"/>
      <c r="D19" s="13" t="n"/>
      <c r="E19" s="13" t="n"/>
      <c r="F19" s="13" t="n"/>
      <c r="G19" s="13" t="n"/>
      <c r="H19" s="13" t="n"/>
      <c r="I19" s="14">
        <f>SUM(I10:I17)</f>
        <v/>
      </c>
      <c r="J19" s="15">
        <f>I19/$B$4</f>
        <v/>
      </c>
    </row>
    <row r="20">
      <c r="A20" s="12" t="inlineStr">
        <is>
          <t>Avec pertes de découpe</t>
        </is>
      </c>
      <c r="B20" s="13" t="n"/>
      <c r="C20" s="13" t="n"/>
      <c r="D20" s="13" t="n"/>
      <c r="E20" s="13" t="n"/>
      <c r="F20" s="13" t="n"/>
      <c r="G20" s="13" t="n"/>
      <c r="H20" s="13" t="n"/>
      <c r="I20" s="14">
        <f>I19*(1+$B$6)</f>
        <v/>
      </c>
      <c r="J20" s="15">
        <f>I20/$B$4</f>
        <v/>
      </c>
    </row>
    <row r="21">
      <c r="A21" s="12" t="inlineStr">
        <is>
          <t>Carton restant</t>
        </is>
      </c>
      <c r="B21" s="13" t="n"/>
      <c r="C21" s="13" t="n"/>
      <c r="D21" s="13" t="n"/>
      <c r="E21" s="13" t="n"/>
      <c r="F21" s="13" t="n"/>
      <c r="G21" s="13" t="n"/>
      <c r="H21" s="13" t="n"/>
      <c r="I21" s="14">
        <f>$B$4-I20</f>
        <v/>
      </c>
      <c r="J21" s="15">
        <f>I21/$B$4</f>
        <v/>
      </c>
    </row>
    <row r="22">
      <c r="A22" s="2" t="inlineStr">
        <is>
          <t>Verdict</t>
        </is>
      </c>
      <c r="I22" s="2">
        <f>IF(I20&lt;=$B$4,"OK : ça rentre dans 1 m²","Dépassement")</f>
        <v/>
      </c>
    </row>
    <row r="24">
      <c r="A24" s="5" t="inlineStr">
        <is>
          <t>Calcul : Plaque = a × b · Tube = (2(a+b) + rabat) × longueur · Triangle = a × b / 2, multiplié par le nombre d'épaisseurs.</t>
        </is>
      </c>
    </row>
    <row r="25">
      <c r="A25" s="5" t="inlineStr">
        <is>
          <t>Les cellules en bleu sont modifiables, tout le reste se recalcule.</t>
        </is>
      </c>
    </row>
  </sheetData>
  <pageMargins left="0.75" right="0.75" top="1" bottom="1" header="0.5" footer="0.5"/>
  <legacyDrawing xmlns:r="http://schemas.openxmlformats.org/officeDocument/2006/relationships" r:id="anysvml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36" customWidth="1" min="1" max="1"/>
    <col width="44" customWidth="1" min="2" max="2"/>
  </cols>
  <sheetData>
    <row r="1">
      <c r="A1" s="1" t="inlineStr">
        <is>
          <t>Portique de levage - Dimensions</t>
        </is>
      </c>
    </row>
    <row r="3">
      <c r="A3" s="7" t="inlineStr">
        <is>
          <t>Élément</t>
        </is>
      </c>
      <c r="B3" s="7" t="inlineStr">
        <is>
          <t>Dimensions</t>
        </is>
      </c>
    </row>
    <row r="4">
      <c r="A4" s="8" t="inlineStr">
        <is>
          <t>Socles (×2)</t>
        </is>
      </c>
      <c r="B4" s="8" t="inlineStr">
        <is>
          <t>25 × 12 cm environ, ~1,2 cm d'épaisseur</t>
        </is>
      </c>
    </row>
    <row r="5">
      <c r="A5" s="8" t="inlineStr">
        <is>
          <t>Pieds (×2)</t>
        </is>
      </c>
      <c r="B5" s="8" t="inlineStr">
        <is>
          <t>7 × 7 cm, 70 cm de haut</t>
        </is>
      </c>
    </row>
    <row r="6">
      <c r="A6" s="8" t="inlineStr">
        <is>
          <t>Poutre</t>
        </is>
      </c>
      <c r="B6" s="8" t="inlineStr">
        <is>
          <t>7 × 8 cm, 64 cm de long</t>
        </is>
      </c>
    </row>
    <row r="7">
      <c r="A7" s="8" t="inlineStr">
        <is>
          <t>Écart entre les pieds</t>
        </is>
      </c>
      <c r="B7" s="8" t="inlineStr">
        <is>
          <t>50 cm</t>
        </is>
      </c>
    </row>
    <row r="8">
      <c r="A8" s="8" t="inlineStr">
        <is>
          <t>Écart entre les axes des pieds</t>
        </is>
      </c>
      <c r="B8" s="8" t="inlineStr">
        <is>
          <t>57 cm</t>
        </is>
      </c>
    </row>
    <row r="9">
      <c r="A9" s="8" t="inlineStr">
        <is>
          <t>Renforts de la poutre</t>
        </is>
      </c>
      <c r="B9" s="8" t="inlineStr">
        <is>
          <t>À définir, à l'intérieur de la poutre</t>
        </is>
      </c>
    </row>
    <row r="10">
      <c r="A10" s="8" t="inlineStr">
        <is>
          <t>Équerres (×4)</t>
        </is>
      </c>
      <c r="B10" s="8" t="inlineStr">
        <is>
          <t>13 cm de côté</t>
        </is>
      </c>
    </row>
    <row r="11">
      <c r="A11" s="8" t="inlineStr">
        <is>
          <t>Tiges de maintien (×8, 4 par pied)</t>
        </is>
      </c>
      <c r="B11" s="8" t="inlineStr">
        <is>
          <t>Pics de 25 cm, du bord du socle au pied</t>
        </is>
      </c>
    </row>
    <row r="12">
      <c r="A12" s="8" t="inlineStr">
        <is>
          <t>Chariot</t>
        </is>
      </c>
      <c r="B12" s="8" t="inlineStr">
        <is>
          <t>10 cm de long, intérieur 7,6 × 8,6 cm</t>
        </is>
      </c>
    </row>
    <row r="13">
      <c r="A13" s="8" t="inlineStr">
        <is>
          <t>Supports des poulies du haut (×2)</t>
        </is>
      </c>
      <c r="B13" s="8" t="inlineStr">
        <is>
          <t>5 × 4 cm, espacés de 3 cm</t>
        </is>
      </c>
    </row>
    <row r="14">
      <c r="A14" s="8" t="inlineStr">
        <is>
          <t>Supports des poulies du bas (×2)</t>
        </is>
      </c>
      <c r="B14" s="8" t="inlineStr">
        <is>
          <t>4 × 4 cm, espacés de 3 cm</t>
        </is>
      </c>
    </row>
    <row r="15">
      <c r="A15" s="8" t="inlineStr">
        <is>
          <t>Corde de levage</t>
        </is>
      </c>
      <c r="B15" s="8" t="inlineStr">
        <is>
          <t>3 m</t>
        </is>
      </c>
    </row>
    <row r="16">
      <c r="A16" s="8" t="inlineStr">
        <is>
          <t>Cordes de translation (×2)</t>
        </is>
      </c>
      <c r="B16" s="8" t="inlineStr">
        <is>
          <t>1 m</t>
        </is>
      </c>
    </row>
    <row r="17">
      <c r="A17" s="8" t="inlineStr">
        <is>
          <t>Hauteur totale</t>
        </is>
      </c>
      <c r="B17" s="8" t="inlineStr">
        <is>
          <t>78 cm</t>
        </is>
      </c>
    </row>
    <row r="18">
      <c r="A18" s="8" t="inlineStr">
        <is>
          <t>Déplacement</t>
        </is>
      </c>
      <c r="B18" s="8" t="inlineStr">
        <is>
          <t>40 cm en hauteur, 30 cm sur le côté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2026-10-08T07:41:30Z</dcterms:created>
  <dcterms:modified xsi:type="dcterms:W3CDTF">2026-10-08T07:41:30Z</dcterms:modified>
</cp:coreProperties>
</file>